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501063B0-B545-EB4E-9CF8-F5C010E9341B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8" i="1" l="1"/>
  <c r="I38" i="1"/>
  <c r="H38" i="1"/>
  <c r="G38" i="1"/>
  <c r="F38" i="1"/>
  <c r="E38" i="1"/>
  <c r="D38" i="1"/>
  <c r="J37" i="1"/>
  <c r="J36" i="1"/>
  <c r="I37" i="1"/>
  <c r="H37" i="1"/>
  <c r="G37" i="1"/>
  <c r="G36" i="1"/>
  <c r="F37" i="1"/>
  <c r="E37" i="1"/>
  <c r="E36" i="1"/>
  <c r="D36" i="1"/>
  <c r="D37" i="1"/>
  <c r="D35" i="1"/>
  <c r="J35" i="1"/>
  <c r="H35" i="1"/>
  <c r="G35" i="1"/>
  <c r="I35" i="1"/>
  <c r="F35" i="1"/>
  <c r="E35" i="1"/>
</calcChain>
</file>

<file path=xl/sharedStrings.xml><?xml version="1.0" encoding="utf-8"?>
<sst xmlns="http://schemas.openxmlformats.org/spreadsheetml/2006/main" count="309" uniqueCount="93">
  <si>
    <t>Archetype</t>
  </si>
  <si>
    <t>Floor Level</t>
  </si>
  <si>
    <t>EDP</t>
  </si>
  <si>
    <t>SaT1</t>
  </si>
  <si>
    <t>PGA</t>
  </si>
  <si>
    <t>PGV</t>
  </si>
  <si>
    <t>Sa_avg</t>
  </si>
  <si>
    <t>s4_96x48_veryhigh</t>
  </si>
  <si>
    <t>1st story</t>
  </si>
  <si>
    <t>SDR_X vs R</t>
  </si>
  <si>
    <t>NO (0.00)</t>
  </si>
  <si>
    <t>NO(0.00)</t>
  </si>
  <si>
    <t>SDR_Z vs R</t>
  </si>
  <si>
    <t>PFA_X vs R</t>
  </si>
  <si>
    <t>YES(0.19)</t>
  </si>
  <si>
    <t>PFA_Z vs R</t>
  </si>
  <si>
    <t>SDR_X vs M</t>
  </si>
  <si>
    <t>SDR_Z vs M</t>
  </si>
  <si>
    <t>PFA_X vs M</t>
  </si>
  <si>
    <t>PFA_Z vs M</t>
  </si>
  <si>
    <t>2nd story</t>
  </si>
  <si>
    <t>3rd story</t>
  </si>
  <si>
    <t>4st story</t>
  </si>
  <si>
    <t>CAV</t>
  </si>
  <si>
    <t>YES(0.70)</t>
  </si>
  <si>
    <t>YES(0.13)</t>
  </si>
  <si>
    <t>YES(0.54)</t>
  </si>
  <si>
    <t>YES(0.56)</t>
  </si>
  <si>
    <t>YES(0.55)</t>
  </si>
  <si>
    <t>YES(0.87)</t>
  </si>
  <si>
    <t>YES(0.15)</t>
  </si>
  <si>
    <t>YES(0.82)</t>
  </si>
  <si>
    <t>YES(0.43)</t>
  </si>
  <si>
    <t>YES(0.33)</t>
  </si>
  <si>
    <t>YES(0.069)</t>
  </si>
  <si>
    <t>YES(0.49)</t>
  </si>
  <si>
    <t>YES(0.085)</t>
  </si>
  <si>
    <t>YES(0.067)</t>
  </si>
  <si>
    <t>YES(0.81)</t>
  </si>
  <si>
    <t>YES(0.052)</t>
  </si>
  <si>
    <t>YES(0.57)</t>
  </si>
  <si>
    <t>YES(0.998)</t>
  </si>
  <si>
    <t>YES(0.14)</t>
  </si>
  <si>
    <t>YES(0.41)</t>
  </si>
  <si>
    <t>NO(0.046)</t>
  </si>
  <si>
    <t>YES(0.073)</t>
  </si>
  <si>
    <t>YES(0.63)</t>
  </si>
  <si>
    <t>NO(0.01)</t>
  </si>
  <si>
    <t>YES(0.26)</t>
  </si>
  <si>
    <t>NO(0.02)</t>
  </si>
  <si>
    <t>SI</t>
  </si>
  <si>
    <t>ASI</t>
  </si>
  <si>
    <t>DSI</t>
  </si>
  <si>
    <t>Deviance explained</t>
  </si>
  <si>
    <t>% sufficient</t>
  </si>
  <si>
    <t>YES(0.903)</t>
  </si>
  <si>
    <t>YES(0.738)</t>
  </si>
  <si>
    <t>NO (0.005)</t>
  </si>
  <si>
    <t>NO(0.014)</t>
  </si>
  <si>
    <t>YES(0.994)</t>
  </si>
  <si>
    <t>YES(0.235)</t>
  </si>
  <si>
    <t>NO(0.023)</t>
  </si>
  <si>
    <t>YES(0.135)</t>
  </si>
  <si>
    <t>YES(0.832)</t>
  </si>
  <si>
    <t>YES(0.418)</t>
  </si>
  <si>
    <t>YES(0.238)</t>
  </si>
  <si>
    <t>YES(0.844)</t>
  </si>
  <si>
    <t>YES(0.329)</t>
  </si>
  <si>
    <t>YES(0.5)</t>
  </si>
  <si>
    <t>YES(0.125)</t>
  </si>
  <si>
    <t>YES(0.761)</t>
  </si>
  <si>
    <t>YES(0.447)</t>
  </si>
  <si>
    <t>YES(0.08)</t>
  </si>
  <si>
    <t>NO(0.002)</t>
  </si>
  <si>
    <t>YES(0.133)</t>
  </si>
  <si>
    <t>YES(0.721)</t>
  </si>
  <si>
    <t>YES(0.062)</t>
  </si>
  <si>
    <t>YES(0.478)</t>
  </si>
  <si>
    <t>YES(0.495)</t>
  </si>
  <si>
    <t>YES(0.614)</t>
  </si>
  <si>
    <t>NO(0.036)</t>
  </si>
  <si>
    <t>YES(0.34)</t>
  </si>
  <si>
    <t>YES(0.376)</t>
  </si>
  <si>
    <t>YES(0.324)</t>
  </si>
  <si>
    <t>YES(0.162)</t>
  </si>
  <si>
    <t>YES(0.243)</t>
  </si>
  <si>
    <t>YES(0.357)</t>
  </si>
  <si>
    <t>YES(0.99)</t>
  </si>
  <si>
    <t>YES(0.694)</t>
  </si>
  <si>
    <t>NO(0.004)</t>
  </si>
  <si>
    <t xml:space="preserve">Total </t>
  </si>
  <si>
    <t>Against R</t>
  </si>
  <si>
    <t>Against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</si>
</sst>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42" applyNumberFormat="1" applyFont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22</xdr:row>
      <xdr:rowOff>0</xdr:rowOff>
    </xdr:from>
    <xdr:to>
      <xdr:col>26</xdr:col>
      <xdr:colOff>406400</xdr:colOff>
      <xdr:row>41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5BDDAA-1F6F-4640-84E4-BF1E87A2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0" y="4470400"/>
          <a:ext cx="9486900" cy="4000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38"/>
  <sheetViews>
    <sheetView tabSelected="1" workbookViewId="0">
      <selection activeCell="O11" sqref="O11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23</v>
      </c>
      <c r="I1" s="2" t="s">
        <v>50</v>
      </c>
      <c r="J1" s="2" t="s">
        <v>51</v>
      </c>
      <c r="K1" s="2" t="s">
        <v>52</v>
      </c>
    </row>
    <row r="2" spans="1:11" x14ac:dyDescent="0.2">
      <c r="A2" s="8" t="s">
        <v>7</v>
      </c>
      <c r="B2" s="7" t="s">
        <v>8</v>
      </c>
      <c r="C2" s="1" t="s">
        <v>9</v>
      </c>
      <c r="D2" s="1" t="s">
        <v>10</v>
      </c>
      <c r="E2" s="1" t="s">
        <v>10</v>
      </c>
      <c r="F2" s="1" t="s">
        <v>11</v>
      </c>
      <c r="G2" s="1" t="s">
        <v>11</v>
      </c>
      <c r="H2" s="1" t="s">
        <v>11</v>
      </c>
      <c r="I2" s="1" t="s">
        <v>11</v>
      </c>
      <c r="J2" s="1" t="s">
        <v>11</v>
      </c>
      <c r="K2" s="1" t="s">
        <v>11</v>
      </c>
    </row>
    <row r="3" spans="1:11" x14ac:dyDescent="0.2">
      <c r="A3" s="8"/>
      <c r="B3" s="7"/>
      <c r="C3" s="1" t="s">
        <v>12</v>
      </c>
      <c r="D3" s="1" t="s">
        <v>10</v>
      </c>
      <c r="E3" s="1" t="s">
        <v>10</v>
      </c>
      <c r="F3" s="1" t="s">
        <v>11</v>
      </c>
      <c r="G3" s="1" t="s">
        <v>11</v>
      </c>
      <c r="H3" s="1" t="s">
        <v>11</v>
      </c>
      <c r="I3" s="1" t="s">
        <v>11</v>
      </c>
      <c r="J3" s="1" t="s">
        <v>11</v>
      </c>
      <c r="K3" s="1" t="s">
        <v>11</v>
      </c>
    </row>
    <row r="4" spans="1:11" x14ac:dyDescent="0.2">
      <c r="A4" s="8"/>
      <c r="B4" s="7"/>
      <c r="C4" s="1" t="s">
        <v>13</v>
      </c>
      <c r="D4" s="1" t="s">
        <v>10</v>
      </c>
      <c r="E4" s="1" t="s">
        <v>10</v>
      </c>
      <c r="F4" s="1" t="s">
        <v>11</v>
      </c>
      <c r="G4" s="4" t="s">
        <v>81</v>
      </c>
      <c r="H4" s="1" t="s">
        <v>11</v>
      </c>
      <c r="I4" s="1" t="s">
        <v>11</v>
      </c>
      <c r="J4" s="1" t="s">
        <v>11</v>
      </c>
      <c r="K4" s="1" t="s">
        <v>11</v>
      </c>
    </row>
    <row r="5" spans="1:11" x14ac:dyDescent="0.2">
      <c r="A5" s="8"/>
      <c r="B5" s="7"/>
      <c r="C5" s="1" t="s">
        <v>15</v>
      </c>
      <c r="D5" s="1" t="s">
        <v>10</v>
      </c>
      <c r="E5" s="4" t="s">
        <v>33</v>
      </c>
      <c r="F5" s="1" t="s">
        <v>11</v>
      </c>
      <c r="G5" s="4" t="s">
        <v>82</v>
      </c>
      <c r="H5" s="1" t="s">
        <v>11</v>
      </c>
      <c r="I5" s="1" t="s">
        <v>11</v>
      </c>
      <c r="J5" s="1" t="s">
        <v>11</v>
      </c>
      <c r="K5" s="1" t="s">
        <v>11</v>
      </c>
    </row>
    <row r="6" spans="1:11" x14ac:dyDescent="0.2">
      <c r="A6" s="8"/>
      <c r="B6" s="7"/>
      <c r="C6" s="1" t="s">
        <v>16</v>
      </c>
      <c r="D6" s="1" t="s">
        <v>10</v>
      </c>
      <c r="E6" s="1" t="s">
        <v>10</v>
      </c>
      <c r="F6" s="4" t="s">
        <v>37</v>
      </c>
      <c r="G6" s="1" t="s">
        <v>11</v>
      </c>
      <c r="H6" s="4" t="s">
        <v>31</v>
      </c>
      <c r="I6" s="1" t="s">
        <v>73</v>
      </c>
      <c r="J6" s="1" t="s">
        <v>11</v>
      </c>
      <c r="K6" s="1" t="s">
        <v>11</v>
      </c>
    </row>
    <row r="7" spans="1:11" x14ac:dyDescent="0.2">
      <c r="A7" s="8"/>
      <c r="B7" s="7"/>
      <c r="C7" s="1" t="s">
        <v>17</v>
      </c>
      <c r="D7" s="1" t="s">
        <v>10</v>
      </c>
      <c r="E7" s="1" t="s">
        <v>10</v>
      </c>
      <c r="F7" s="4" t="s">
        <v>25</v>
      </c>
      <c r="G7" s="1" t="s">
        <v>11</v>
      </c>
      <c r="H7" s="4" t="s">
        <v>26</v>
      </c>
      <c r="I7" s="1" t="s">
        <v>58</v>
      </c>
      <c r="J7" s="1" t="s">
        <v>11</v>
      </c>
      <c r="K7" s="1" t="s">
        <v>11</v>
      </c>
    </row>
    <row r="8" spans="1:11" x14ac:dyDescent="0.2">
      <c r="A8" s="8"/>
      <c r="B8" s="7"/>
      <c r="C8" s="1" t="s">
        <v>18</v>
      </c>
      <c r="D8" s="4" t="s">
        <v>55</v>
      </c>
      <c r="E8" s="1" t="s">
        <v>10</v>
      </c>
      <c r="F8" s="4" t="s">
        <v>38</v>
      </c>
      <c r="G8" s="1" t="s">
        <v>11</v>
      </c>
      <c r="H8" s="1" t="s">
        <v>11</v>
      </c>
      <c r="I8" s="4" t="s">
        <v>59</v>
      </c>
      <c r="J8" s="1" t="s">
        <v>11</v>
      </c>
      <c r="K8" s="1" t="s">
        <v>11</v>
      </c>
    </row>
    <row r="9" spans="1:11" x14ac:dyDescent="0.2">
      <c r="A9" s="8"/>
      <c r="B9" s="7"/>
      <c r="C9" s="1" t="s">
        <v>19</v>
      </c>
      <c r="D9" s="1" t="s">
        <v>10</v>
      </c>
      <c r="E9" s="1" t="s">
        <v>57</v>
      </c>
      <c r="F9" s="4" t="s">
        <v>39</v>
      </c>
      <c r="G9" s="1" t="s">
        <v>11</v>
      </c>
      <c r="H9" s="1" t="s">
        <v>11</v>
      </c>
      <c r="I9" s="4" t="s">
        <v>60</v>
      </c>
      <c r="J9" s="4" t="s">
        <v>74</v>
      </c>
      <c r="K9" s="1" t="s">
        <v>11</v>
      </c>
    </row>
    <row r="10" spans="1:11" x14ac:dyDescent="0.2">
      <c r="A10" s="8"/>
      <c r="B10" s="9" t="s">
        <v>20</v>
      </c>
      <c r="C10" s="3" t="s">
        <v>9</v>
      </c>
      <c r="D10" s="3" t="s">
        <v>10</v>
      </c>
      <c r="E10" s="3" t="s">
        <v>11</v>
      </c>
      <c r="F10" s="3" t="s">
        <v>11</v>
      </c>
      <c r="G10" s="3" t="s">
        <v>11</v>
      </c>
      <c r="H10" s="3" t="s">
        <v>11</v>
      </c>
      <c r="I10" s="3" t="s">
        <v>11</v>
      </c>
      <c r="J10" s="3" t="s">
        <v>11</v>
      </c>
      <c r="K10" s="3" t="s">
        <v>11</v>
      </c>
    </row>
    <row r="11" spans="1:11" x14ac:dyDescent="0.2">
      <c r="A11" s="8"/>
      <c r="B11" s="9"/>
      <c r="C11" s="3" t="s">
        <v>12</v>
      </c>
      <c r="D11" s="3" t="s">
        <v>10</v>
      </c>
      <c r="E11" s="3" t="s">
        <v>11</v>
      </c>
      <c r="F11" s="3" t="s">
        <v>11</v>
      </c>
      <c r="G11" s="3" t="s">
        <v>11</v>
      </c>
      <c r="H11" s="3" t="s">
        <v>11</v>
      </c>
      <c r="I11" s="3" t="s">
        <v>11</v>
      </c>
      <c r="J11" s="3" t="s">
        <v>11</v>
      </c>
      <c r="K11" s="3" t="s">
        <v>11</v>
      </c>
    </row>
    <row r="12" spans="1:11" x14ac:dyDescent="0.2">
      <c r="A12" s="8"/>
      <c r="B12" s="9"/>
      <c r="C12" s="3" t="s">
        <v>13</v>
      </c>
      <c r="D12" s="3" t="s">
        <v>10</v>
      </c>
      <c r="E12" s="3" t="s">
        <v>11</v>
      </c>
      <c r="F12" s="3" t="s">
        <v>11</v>
      </c>
      <c r="G12" s="4" t="s">
        <v>84</v>
      </c>
      <c r="H12" s="3" t="s">
        <v>11</v>
      </c>
      <c r="I12" s="3" t="s">
        <v>11</v>
      </c>
      <c r="J12" s="3" t="s">
        <v>11</v>
      </c>
      <c r="K12" s="3" t="s">
        <v>11</v>
      </c>
    </row>
    <row r="13" spans="1:11" x14ac:dyDescent="0.2">
      <c r="A13" s="8"/>
      <c r="B13" s="9"/>
      <c r="C13" s="3" t="s">
        <v>15</v>
      </c>
      <c r="D13" s="3" t="s">
        <v>10</v>
      </c>
      <c r="E13" s="4" t="s">
        <v>24</v>
      </c>
      <c r="F13" s="3" t="s">
        <v>11</v>
      </c>
      <c r="G13" s="4" t="s">
        <v>83</v>
      </c>
      <c r="H13" s="3" t="s">
        <v>11</v>
      </c>
      <c r="I13" s="3" t="s">
        <v>11</v>
      </c>
      <c r="J13" s="4" t="s">
        <v>76</v>
      </c>
      <c r="K13" s="3" t="s">
        <v>11</v>
      </c>
    </row>
    <row r="14" spans="1:11" x14ac:dyDescent="0.2">
      <c r="A14" s="8"/>
      <c r="B14" s="9"/>
      <c r="C14" s="3" t="s">
        <v>16</v>
      </c>
      <c r="D14" s="3" t="s">
        <v>10</v>
      </c>
      <c r="E14" s="3" t="s">
        <v>11</v>
      </c>
      <c r="F14" s="4" t="s">
        <v>30</v>
      </c>
      <c r="G14" s="3" t="s">
        <v>11</v>
      </c>
      <c r="H14" s="4" t="s">
        <v>48</v>
      </c>
      <c r="I14" s="3" t="s">
        <v>61</v>
      </c>
      <c r="J14" s="3" t="s">
        <v>11</v>
      </c>
      <c r="K14" s="3" t="s">
        <v>11</v>
      </c>
    </row>
    <row r="15" spans="1:11" x14ac:dyDescent="0.2">
      <c r="A15" s="8"/>
      <c r="B15" s="9"/>
      <c r="C15" s="3" t="s">
        <v>17</v>
      </c>
      <c r="D15" s="3" t="s">
        <v>10</v>
      </c>
      <c r="E15" s="3" t="s">
        <v>11</v>
      </c>
      <c r="F15" s="4" t="s">
        <v>40</v>
      </c>
      <c r="G15" s="3" t="s">
        <v>11</v>
      </c>
      <c r="H15" s="3" t="s">
        <v>49</v>
      </c>
      <c r="I15" s="4" t="s">
        <v>62</v>
      </c>
      <c r="J15" s="3" t="s">
        <v>11</v>
      </c>
      <c r="K15" s="3" t="s">
        <v>11</v>
      </c>
    </row>
    <row r="16" spans="1:11" x14ac:dyDescent="0.2">
      <c r="A16" s="8"/>
      <c r="B16" s="9"/>
      <c r="C16" s="3" t="s">
        <v>18</v>
      </c>
      <c r="D16" s="4" t="s">
        <v>56</v>
      </c>
      <c r="E16" s="3" t="s">
        <v>11</v>
      </c>
      <c r="F16" s="4" t="s">
        <v>41</v>
      </c>
      <c r="G16" s="3" t="s">
        <v>11</v>
      </c>
      <c r="H16" s="3" t="s">
        <v>11</v>
      </c>
      <c r="I16" s="4" t="s">
        <v>63</v>
      </c>
      <c r="J16" s="3" t="s">
        <v>11</v>
      </c>
      <c r="K16" s="3" t="s">
        <v>11</v>
      </c>
    </row>
    <row r="17" spans="1:11" x14ac:dyDescent="0.2">
      <c r="A17" s="8"/>
      <c r="B17" s="9"/>
      <c r="C17" s="3" t="s">
        <v>19</v>
      </c>
      <c r="D17" s="3" t="s">
        <v>10</v>
      </c>
      <c r="E17" s="3" t="s">
        <v>11</v>
      </c>
      <c r="F17" s="4" t="s">
        <v>42</v>
      </c>
      <c r="G17" s="3" t="s">
        <v>11</v>
      </c>
      <c r="H17" s="3" t="s">
        <v>11</v>
      </c>
      <c r="I17" s="4" t="s">
        <v>64</v>
      </c>
      <c r="J17" s="4" t="s">
        <v>75</v>
      </c>
      <c r="K17" s="3" t="s">
        <v>11</v>
      </c>
    </row>
    <row r="18" spans="1:11" x14ac:dyDescent="0.2">
      <c r="A18" s="8"/>
      <c r="B18" s="7" t="s">
        <v>21</v>
      </c>
      <c r="C18" s="1" t="s">
        <v>9</v>
      </c>
      <c r="D18" s="1" t="s">
        <v>10</v>
      </c>
      <c r="E18" s="1" t="s">
        <v>11</v>
      </c>
      <c r="F18" s="1" t="s">
        <v>11</v>
      </c>
      <c r="G18" s="1" t="s">
        <v>11</v>
      </c>
      <c r="H18" s="1" t="s">
        <v>11</v>
      </c>
      <c r="I18" s="1" t="s">
        <v>11</v>
      </c>
      <c r="J18" s="1" t="s">
        <v>11</v>
      </c>
      <c r="K18" s="1" t="s">
        <v>11</v>
      </c>
    </row>
    <row r="19" spans="1:11" x14ac:dyDescent="0.2">
      <c r="A19" s="8"/>
      <c r="B19" s="7"/>
      <c r="C19" s="1" t="s">
        <v>12</v>
      </c>
      <c r="D19" s="1" t="s">
        <v>10</v>
      </c>
      <c r="E19" s="1" t="s">
        <v>11</v>
      </c>
      <c r="F19" s="1" t="s">
        <v>11</v>
      </c>
      <c r="G19" s="1" t="s">
        <v>11</v>
      </c>
      <c r="H19" s="1" t="s">
        <v>11</v>
      </c>
      <c r="I19" s="1" t="s">
        <v>11</v>
      </c>
      <c r="J19" s="1" t="s">
        <v>11</v>
      </c>
      <c r="K19" s="1" t="s">
        <v>11</v>
      </c>
    </row>
    <row r="20" spans="1:11" x14ac:dyDescent="0.2">
      <c r="A20" s="8"/>
      <c r="B20" s="7"/>
      <c r="C20" s="1" t="s">
        <v>13</v>
      </c>
      <c r="D20" s="1" t="s">
        <v>10</v>
      </c>
      <c r="E20" s="1" t="s">
        <v>11</v>
      </c>
      <c r="F20" s="1" t="s">
        <v>11</v>
      </c>
      <c r="G20" s="1" t="s">
        <v>11</v>
      </c>
      <c r="H20" s="1" t="s">
        <v>11</v>
      </c>
      <c r="I20" s="1" t="s">
        <v>11</v>
      </c>
      <c r="J20" s="1" t="s">
        <v>11</v>
      </c>
      <c r="K20" s="1" t="s">
        <v>11</v>
      </c>
    </row>
    <row r="21" spans="1:11" x14ac:dyDescent="0.2">
      <c r="A21" s="8"/>
      <c r="B21" s="7"/>
      <c r="C21" s="1" t="s">
        <v>15</v>
      </c>
      <c r="D21" s="1" t="s">
        <v>10</v>
      </c>
      <c r="E21" s="4" t="s">
        <v>27</v>
      </c>
      <c r="F21" s="1" t="s">
        <v>11</v>
      </c>
      <c r="G21" s="1" t="s">
        <v>11</v>
      </c>
      <c r="H21" s="1" t="s">
        <v>11</v>
      </c>
      <c r="I21" s="1" t="s">
        <v>11</v>
      </c>
      <c r="J21" s="4" t="s">
        <v>77</v>
      </c>
      <c r="K21" s="1" t="s">
        <v>11</v>
      </c>
    </row>
    <row r="22" spans="1:11" x14ac:dyDescent="0.2">
      <c r="A22" s="8"/>
      <c r="B22" s="7"/>
      <c r="C22" s="1" t="s">
        <v>16</v>
      </c>
      <c r="D22" s="1" t="s">
        <v>10</v>
      </c>
      <c r="E22" s="1" t="s">
        <v>11</v>
      </c>
      <c r="F22" s="4" t="s">
        <v>28</v>
      </c>
      <c r="G22" s="1" t="s">
        <v>11</v>
      </c>
      <c r="H22" s="1" t="s">
        <v>49</v>
      </c>
      <c r="I22" s="4" t="s">
        <v>65</v>
      </c>
      <c r="J22" s="1" t="s">
        <v>11</v>
      </c>
      <c r="K22" s="1" t="s">
        <v>11</v>
      </c>
    </row>
    <row r="23" spans="1:11" x14ac:dyDescent="0.2">
      <c r="A23" s="8"/>
      <c r="B23" s="7"/>
      <c r="C23" s="1" t="s">
        <v>17</v>
      </c>
      <c r="D23" s="1" t="s">
        <v>10</v>
      </c>
      <c r="E23" s="1" t="s">
        <v>11</v>
      </c>
      <c r="F23" s="4" t="s">
        <v>43</v>
      </c>
      <c r="G23" s="4" t="s">
        <v>30</v>
      </c>
      <c r="H23" s="1" t="s">
        <v>11</v>
      </c>
      <c r="I23" s="4" t="s">
        <v>66</v>
      </c>
      <c r="J23" s="1" t="s">
        <v>11</v>
      </c>
      <c r="K23" s="1" t="s">
        <v>11</v>
      </c>
    </row>
    <row r="24" spans="1:11" x14ac:dyDescent="0.2">
      <c r="A24" s="8"/>
      <c r="B24" s="7"/>
      <c r="C24" s="1" t="s">
        <v>18</v>
      </c>
      <c r="D24" s="1" t="s">
        <v>10</v>
      </c>
      <c r="E24" s="1" t="s">
        <v>11</v>
      </c>
      <c r="F24" s="4" t="s">
        <v>32</v>
      </c>
      <c r="G24" s="1" t="s">
        <v>11</v>
      </c>
      <c r="H24" s="1" t="s">
        <v>11</v>
      </c>
      <c r="I24" s="4" t="s">
        <v>67</v>
      </c>
      <c r="J24" s="1" t="s">
        <v>11</v>
      </c>
      <c r="K24" s="1" t="s">
        <v>11</v>
      </c>
    </row>
    <row r="25" spans="1:11" x14ac:dyDescent="0.2">
      <c r="A25" s="8"/>
      <c r="B25" s="7"/>
      <c r="C25" s="1" t="s">
        <v>19</v>
      </c>
      <c r="D25" s="1" t="s">
        <v>10</v>
      </c>
      <c r="E25" s="1" t="s">
        <v>11</v>
      </c>
      <c r="F25" s="4" t="s">
        <v>14</v>
      </c>
      <c r="G25" s="4" t="s">
        <v>85</v>
      </c>
      <c r="H25" s="1" t="s">
        <v>11</v>
      </c>
      <c r="I25" s="4" t="s">
        <v>68</v>
      </c>
      <c r="J25" s="4" t="s">
        <v>78</v>
      </c>
      <c r="K25" s="1" t="s">
        <v>11</v>
      </c>
    </row>
    <row r="26" spans="1:11" x14ac:dyDescent="0.2">
      <c r="A26" s="8"/>
      <c r="B26" s="9" t="s">
        <v>22</v>
      </c>
      <c r="C26" s="3" t="s">
        <v>9</v>
      </c>
      <c r="D26" s="3" t="s">
        <v>10</v>
      </c>
      <c r="E26" s="3" t="s">
        <v>11</v>
      </c>
      <c r="F26" s="3" t="s">
        <v>11</v>
      </c>
      <c r="G26" s="4" t="s">
        <v>86</v>
      </c>
      <c r="H26" s="3" t="s">
        <v>11</v>
      </c>
      <c r="I26" s="3" t="s">
        <v>11</v>
      </c>
      <c r="J26" s="3" t="s">
        <v>11</v>
      </c>
      <c r="K26" s="3" t="s">
        <v>11</v>
      </c>
    </row>
    <row r="27" spans="1:11" x14ac:dyDescent="0.2">
      <c r="A27" s="8"/>
      <c r="B27" s="9"/>
      <c r="C27" s="3" t="s">
        <v>12</v>
      </c>
      <c r="D27" s="3" t="s">
        <v>10</v>
      </c>
      <c r="E27" s="4" t="s">
        <v>34</v>
      </c>
      <c r="F27" s="3" t="s">
        <v>11</v>
      </c>
      <c r="G27" s="4" t="s">
        <v>87</v>
      </c>
      <c r="H27" s="3" t="s">
        <v>11</v>
      </c>
      <c r="I27" s="3" t="s">
        <v>11</v>
      </c>
      <c r="J27" s="3" t="s">
        <v>11</v>
      </c>
      <c r="K27" s="3" t="s">
        <v>11</v>
      </c>
    </row>
    <row r="28" spans="1:11" x14ac:dyDescent="0.2">
      <c r="A28" s="8"/>
      <c r="B28" s="9"/>
      <c r="C28" s="3" t="s">
        <v>13</v>
      </c>
      <c r="D28" s="3" t="s">
        <v>10</v>
      </c>
      <c r="E28" s="4" t="s">
        <v>30</v>
      </c>
      <c r="F28" s="3" t="s">
        <v>11</v>
      </c>
      <c r="G28" s="4" t="s">
        <v>88</v>
      </c>
      <c r="H28" s="3" t="s">
        <v>11</v>
      </c>
      <c r="I28" s="3" t="s">
        <v>11</v>
      </c>
      <c r="J28" s="3" t="s">
        <v>11</v>
      </c>
      <c r="K28" s="3" t="s">
        <v>11</v>
      </c>
    </row>
    <row r="29" spans="1:11" x14ac:dyDescent="0.2">
      <c r="A29" s="8"/>
      <c r="B29" s="9"/>
      <c r="C29" s="3" t="s">
        <v>15</v>
      </c>
      <c r="D29" s="3" t="s">
        <v>10</v>
      </c>
      <c r="E29" s="4" t="s">
        <v>36</v>
      </c>
      <c r="F29" s="3" t="s">
        <v>11</v>
      </c>
      <c r="G29" s="3" t="s">
        <v>89</v>
      </c>
      <c r="H29" s="3" t="s">
        <v>11</v>
      </c>
      <c r="I29" s="3" t="s">
        <v>11</v>
      </c>
      <c r="J29" s="4" t="s">
        <v>79</v>
      </c>
      <c r="K29" s="3" t="s">
        <v>11</v>
      </c>
    </row>
    <row r="30" spans="1:11" x14ac:dyDescent="0.2">
      <c r="A30" s="8"/>
      <c r="B30" s="9"/>
      <c r="C30" s="3" t="s">
        <v>16</v>
      </c>
      <c r="D30" s="3" t="s">
        <v>10</v>
      </c>
      <c r="E30" s="3" t="s">
        <v>11</v>
      </c>
      <c r="F30" s="3" t="s">
        <v>44</v>
      </c>
      <c r="G30" s="3" t="s">
        <v>11</v>
      </c>
      <c r="H30" s="3" t="s">
        <v>11</v>
      </c>
      <c r="I30" s="4" t="s">
        <v>69</v>
      </c>
      <c r="J30" s="3" t="s">
        <v>11</v>
      </c>
      <c r="K30" s="3" t="s">
        <v>11</v>
      </c>
    </row>
    <row r="31" spans="1:11" x14ac:dyDescent="0.2">
      <c r="A31" s="8"/>
      <c r="B31" s="9"/>
      <c r="C31" s="3" t="s">
        <v>17</v>
      </c>
      <c r="D31" s="3" t="s">
        <v>10</v>
      </c>
      <c r="E31" s="4" t="s">
        <v>35</v>
      </c>
      <c r="F31" s="4" t="s">
        <v>46</v>
      </c>
      <c r="G31" s="3" t="s">
        <v>11</v>
      </c>
      <c r="H31" s="3" t="s">
        <v>11</v>
      </c>
      <c r="I31" s="4" t="s">
        <v>70</v>
      </c>
      <c r="J31" s="3" t="s">
        <v>11</v>
      </c>
      <c r="K31" s="3" t="s">
        <v>11</v>
      </c>
    </row>
    <row r="32" spans="1:11" x14ac:dyDescent="0.2">
      <c r="A32" s="8"/>
      <c r="B32" s="9"/>
      <c r="C32" s="3" t="s">
        <v>18</v>
      </c>
      <c r="D32" s="3" t="s">
        <v>10</v>
      </c>
      <c r="E32" s="4" t="s">
        <v>29</v>
      </c>
      <c r="F32" s="4" t="s">
        <v>45</v>
      </c>
      <c r="G32" s="3" t="s">
        <v>11</v>
      </c>
      <c r="H32" s="3" t="s">
        <v>11</v>
      </c>
      <c r="I32" s="4" t="s">
        <v>71</v>
      </c>
      <c r="J32" s="3" t="s">
        <v>11</v>
      </c>
      <c r="K32" s="3" t="s">
        <v>11</v>
      </c>
    </row>
    <row r="33" spans="1:11" x14ac:dyDescent="0.2">
      <c r="A33" s="8"/>
      <c r="B33" s="9"/>
      <c r="C33" s="3" t="s">
        <v>19</v>
      </c>
      <c r="D33" s="3" t="s">
        <v>10</v>
      </c>
      <c r="E33" s="3" t="s">
        <v>11</v>
      </c>
      <c r="F33" s="3" t="s">
        <v>47</v>
      </c>
      <c r="G33" s="3" t="s">
        <v>11</v>
      </c>
      <c r="H33" s="3" t="s">
        <v>11</v>
      </c>
      <c r="I33" s="4" t="s">
        <v>72</v>
      </c>
      <c r="J33" s="3" t="s">
        <v>80</v>
      </c>
      <c r="K33" s="3" t="s">
        <v>11</v>
      </c>
    </row>
    <row r="34" spans="1:11" x14ac:dyDescent="0.2">
      <c r="A34" s="7" t="s">
        <v>53</v>
      </c>
      <c r="B34" s="7"/>
      <c r="C34" s="5"/>
      <c r="D34" s="5">
        <v>0.755</v>
      </c>
      <c r="E34" s="5">
        <v>0.73099999999999998</v>
      </c>
      <c r="F34" s="5">
        <v>0.32600000000000001</v>
      </c>
      <c r="G34" s="5">
        <v>0.79900000000000004</v>
      </c>
      <c r="H34" s="5"/>
      <c r="I34" s="5">
        <v>0.42799999999999999</v>
      </c>
      <c r="J34" s="5"/>
      <c r="K34" s="5"/>
    </row>
    <row r="35" spans="1:11" x14ac:dyDescent="0.2">
      <c r="A35" s="7" t="s">
        <v>54</v>
      </c>
      <c r="B35" s="10" t="s">
        <v>90</v>
      </c>
      <c r="C35" s="5"/>
      <c r="D35" s="5">
        <f>2/32</f>
        <v>6.25E-2</v>
      </c>
      <c r="E35" s="5">
        <f>8/32</f>
        <v>0.25</v>
      </c>
      <c r="F35" s="5">
        <f>14/32</f>
        <v>0.4375</v>
      </c>
      <c r="G35" s="5">
        <f>9/32</f>
        <v>0.28125</v>
      </c>
      <c r="H35" s="5">
        <f>3/32</f>
        <v>9.375E-2</v>
      </c>
      <c r="I35" s="5">
        <f>13/32</f>
        <v>0.40625</v>
      </c>
      <c r="J35" s="5">
        <f>6/32</f>
        <v>0.1875</v>
      </c>
      <c r="K35" s="5"/>
    </row>
    <row r="36" spans="1:11" x14ac:dyDescent="0.2">
      <c r="A36" s="7"/>
      <c r="B36" s="1" t="s">
        <v>91</v>
      </c>
      <c r="D36" s="6">
        <f>0/16</f>
        <v>0</v>
      </c>
      <c r="E36" s="1">
        <f>6/16</f>
        <v>0.375</v>
      </c>
      <c r="F36" s="1">
        <v>0</v>
      </c>
      <c r="G36" s="1">
        <f>7/16</f>
        <v>0.4375</v>
      </c>
      <c r="H36" s="1">
        <v>0</v>
      </c>
      <c r="I36" s="1">
        <v>0</v>
      </c>
      <c r="J36" s="1">
        <f>3/16</f>
        <v>0.1875</v>
      </c>
      <c r="K36" s="1">
        <v>0</v>
      </c>
    </row>
    <row r="37" spans="1:11" x14ac:dyDescent="0.2">
      <c r="A37" s="7"/>
      <c r="B37" s="1" t="s">
        <v>92</v>
      </c>
      <c r="D37" s="6">
        <f>2/16</f>
        <v>0.125</v>
      </c>
      <c r="E37" s="1">
        <f>2/16</f>
        <v>0.125</v>
      </c>
      <c r="F37" s="1">
        <f>15/16</f>
        <v>0.9375</v>
      </c>
      <c r="G37" s="1">
        <f>2/16</f>
        <v>0.125</v>
      </c>
      <c r="H37" s="1">
        <f>3/16</f>
        <v>0.1875</v>
      </c>
      <c r="I37" s="1">
        <f>13/16</f>
        <v>0.8125</v>
      </c>
      <c r="J37" s="1">
        <f>3/16</f>
        <v>0.1875</v>
      </c>
      <c r="K37" s="1">
        <v>0</v>
      </c>
    </row>
    <row r="38" spans="1:11" x14ac:dyDescent="0.2">
      <c r="D38" s="11">
        <f>2/32</f>
        <v>6.25E-2</v>
      </c>
      <c r="E38" s="11">
        <f>8/32</f>
        <v>0.25</v>
      </c>
      <c r="F38" s="11">
        <f>14/32</f>
        <v>0.4375</v>
      </c>
      <c r="G38" s="11">
        <f>9/32</f>
        <v>0.28125</v>
      </c>
      <c r="H38" s="11">
        <f>3/32</f>
        <v>9.375E-2</v>
      </c>
      <c r="I38" s="11">
        <f>13/32</f>
        <v>0.40625</v>
      </c>
      <c r="J38" s="11">
        <f>6/32</f>
        <v>0.1875</v>
      </c>
    </row>
  </sheetData>
  <mergeCells count="7">
    <mergeCell ref="A34:B34"/>
    <mergeCell ref="A2:A33"/>
    <mergeCell ref="B2:B9"/>
    <mergeCell ref="B10:B17"/>
    <mergeCell ref="B18:B25"/>
    <mergeCell ref="B26:B33"/>
    <mergeCell ref="A35:A37"/>
  </mergeCells>
  <phoneticPr fontId="19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2022-10-21T01:16:30Z</dcterms:modified>
</cp:coreProperties>
</file>