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axmandahal/Desktop/UCLA/Phd/Research/IM_study/Codes/GAM_models/Summary_results/"/>
    </mc:Choice>
  </mc:AlternateContent>
  <xr:revisionPtr revIDLastSave="0" documentId="13_ncr:1_{91EE5A1C-9B92-E34D-9508-DA3C2FC08780}" xr6:coauthVersionLast="46" xr6:coauthVersionMax="46" xr10:uidLastSave="{00000000-0000-0000-0000-000000000000}"/>
  <bookViews>
    <workbookView xWindow="-36540" yWindow="-2340" windowWidth="33920" windowHeight="17500" xr2:uid="{00000000-000D-0000-FFFF-FFFF00000000}"/>
  </bookViews>
  <sheets>
    <sheet name="GAM summary sufficienc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9" i="1" l="1"/>
  <c r="V19" i="1"/>
  <c r="U19" i="1"/>
  <c r="T19" i="1"/>
  <c r="S19" i="1"/>
  <c r="R19" i="1"/>
  <c r="Q19" i="1"/>
  <c r="P19" i="1"/>
  <c r="K19" i="1"/>
  <c r="J19" i="1"/>
  <c r="I19" i="1"/>
  <c r="H19" i="1"/>
  <c r="D19" i="1"/>
  <c r="G19" i="1"/>
  <c r="F19" i="1"/>
  <c r="E19" i="1"/>
</calcChain>
</file>

<file path=xl/sharedStrings.xml><?xml version="1.0" encoding="utf-8"?>
<sst xmlns="http://schemas.openxmlformats.org/spreadsheetml/2006/main" count="320" uniqueCount="65">
  <si>
    <t>Archetype</t>
  </si>
  <si>
    <t>Floor Level</t>
  </si>
  <si>
    <t>EDP</t>
  </si>
  <si>
    <t>SaT1</t>
  </si>
  <si>
    <t>PGA</t>
  </si>
  <si>
    <t>PGV</t>
  </si>
  <si>
    <t>Sa_avg</t>
  </si>
  <si>
    <t>1st story</t>
  </si>
  <si>
    <t>SDR_X vs R</t>
  </si>
  <si>
    <t>NO (0.00)</t>
  </si>
  <si>
    <t>NO(0.00)</t>
  </si>
  <si>
    <t>SDR_Z vs R</t>
  </si>
  <si>
    <t>PFA_X vs R</t>
  </si>
  <si>
    <t>PFA_Z vs R</t>
  </si>
  <si>
    <t>SDR_X vs M</t>
  </si>
  <si>
    <t>SDR_Z vs M</t>
  </si>
  <si>
    <t>PFA_X vs M</t>
  </si>
  <si>
    <t>PFA_Z vs M</t>
  </si>
  <si>
    <t>2nd story</t>
  </si>
  <si>
    <t>CAV</t>
  </si>
  <si>
    <t>YES(0.067)</t>
  </si>
  <si>
    <t>SI</t>
  </si>
  <si>
    <t>ASI</t>
  </si>
  <si>
    <t>DSI</t>
  </si>
  <si>
    <t xml:space="preserve">Deviance Explained = </t>
  </si>
  <si>
    <t>YES(0.071)</t>
  </si>
  <si>
    <t>YES(0.244)</t>
  </si>
  <si>
    <t>YES(0.541)</t>
  </si>
  <si>
    <t>YES(0.343)</t>
  </si>
  <si>
    <t>YES(0.437)</t>
  </si>
  <si>
    <t>NO(0.005)</t>
  </si>
  <si>
    <t>YES(0.626)</t>
  </si>
  <si>
    <t>% Sufficient</t>
  </si>
  <si>
    <t>NO(0.038)</t>
  </si>
  <si>
    <t>YES(0.082)</t>
  </si>
  <si>
    <t>NO(0.029)</t>
  </si>
  <si>
    <t>YES(0.262)</t>
  </si>
  <si>
    <t>YES(0.246)</t>
  </si>
  <si>
    <t>YES(0.117)</t>
  </si>
  <si>
    <t>YES(0.168)</t>
  </si>
  <si>
    <t>YES(0.327)</t>
  </si>
  <si>
    <t>YES(0.354)</t>
  </si>
  <si>
    <t>s2_48x32_high</t>
  </si>
  <si>
    <t>YES(0.074)</t>
  </si>
  <si>
    <t>NO (0.0045)</t>
  </si>
  <si>
    <t>NO (0.0477)</t>
  </si>
  <si>
    <t>YES(0.293)</t>
  </si>
  <si>
    <t>YES(0.106)</t>
  </si>
  <si>
    <t>YES(0.1764)</t>
  </si>
  <si>
    <t>YES(0.089)</t>
  </si>
  <si>
    <t>YES(0.302)</t>
  </si>
  <si>
    <t>YES(0.1907)</t>
  </si>
  <si>
    <t>NO(0.00661)</t>
  </si>
  <si>
    <t>YES(0.0985)</t>
  </si>
  <si>
    <t>NO(0.0134)</t>
  </si>
  <si>
    <t>YES(0.0814)</t>
  </si>
  <si>
    <t>YES(0.0717)</t>
  </si>
  <si>
    <t>YES(0.0691)</t>
  </si>
  <si>
    <t>NO(0.0298)</t>
  </si>
  <si>
    <t>YES(0.242)</t>
  </si>
  <si>
    <t>YES(0.219)</t>
  </si>
  <si>
    <t>YES(0.1694)</t>
  </si>
  <si>
    <t>YES(0.322)</t>
  </si>
  <si>
    <t>YES(0.258)</t>
  </si>
  <si>
    <t>YES(0.57)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</si>
</sst>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13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9" fontId="0" fillId="0" borderId="0" xfId="42" applyFont="1" applyAlignment="1">
      <alignment horizontal="center" vertical="center"/>
    </xf>
    <xf numFmtId="0" fontId="0" fillId="3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18" fillId="33" borderId="0" xfId="0" applyFont="1" applyFill="1" applyAlignment="1">
      <alignment horizontal="center" vertical="center" textRotation="90"/>
    </xf>
    <xf numFmtId="0" fontId="19" fillId="36" borderId="0" xfId="0" applyFont="1" applyFill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0</xdr:rowOff>
    </xdr:from>
    <xdr:to>
      <xdr:col>11</xdr:col>
      <xdr:colOff>342900</xdr:colOff>
      <xdr:row>34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CC8DBB4-B9EE-DE49-8300-46A2A1102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876800"/>
          <a:ext cx="9423400" cy="22225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317500</xdr:colOff>
      <xdr:row>23</xdr:row>
      <xdr:rowOff>190500</xdr:rowOff>
    </xdr:from>
    <xdr:to>
      <xdr:col>23</xdr:col>
      <xdr:colOff>203200</xdr:colOff>
      <xdr:row>34</xdr:row>
      <xdr:rowOff>190571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243C07-11CA-9F4E-B856-5B6B0378C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23500" y="4864100"/>
          <a:ext cx="8966200" cy="22352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19"/>
  <sheetViews>
    <sheetView tabSelected="1" workbookViewId="0">
      <selection activeCell="Q29" sqref="Q29"/>
    </sheetView>
  </sheetViews>
  <sheetFormatPr baseColWidth="10" defaultRowHeight="16" x14ac:dyDescent="0.2"/>
  <cols>
    <col min="1" max="16384" width="10.83203125" style="1"/>
  </cols>
  <sheetData>
    <row r="1" spans="1:23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19</v>
      </c>
      <c r="I1" s="2" t="s">
        <v>21</v>
      </c>
      <c r="J1" s="2" t="s">
        <v>22</v>
      </c>
      <c r="K1" s="2" t="s">
        <v>23</v>
      </c>
      <c r="M1" s="2" t="s">
        <v>0</v>
      </c>
      <c r="N1" s="2" t="s">
        <v>1</v>
      </c>
      <c r="O1" s="2" t="s">
        <v>2</v>
      </c>
      <c r="P1" s="2" t="s">
        <v>3</v>
      </c>
      <c r="Q1" s="2" t="s">
        <v>4</v>
      </c>
      <c r="R1" s="2" t="s">
        <v>5</v>
      </c>
      <c r="S1" s="2" t="s">
        <v>6</v>
      </c>
      <c r="T1" s="2" t="s">
        <v>19</v>
      </c>
      <c r="U1" s="2" t="s">
        <v>21</v>
      </c>
      <c r="V1" s="2" t="s">
        <v>22</v>
      </c>
      <c r="W1" s="2" t="s">
        <v>23</v>
      </c>
    </row>
    <row r="2" spans="1:23" ht="16" customHeight="1" x14ac:dyDescent="0.2">
      <c r="A2" s="11" t="s">
        <v>42</v>
      </c>
      <c r="B2" s="9" t="s">
        <v>7</v>
      </c>
      <c r="C2" s="1" t="s">
        <v>14</v>
      </c>
      <c r="D2" s="1" t="s">
        <v>9</v>
      </c>
      <c r="E2" s="1" t="s">
        <v>9</v>
      </c>
      <c r="F2" s="1" t="s">
        <v>10</v>
      </c>
      <c r="G2" s="1" t="s">
        <v>10</v>
      </c>
      <c r="H2" s="1" t="s">
        <v>10</v>
      </c>
      <c r="I2" s="1" t="s">
        <v>10</v>
      </c>
      <c r="J2" s="1" t="s">
        <v>10</v>
      </c>
      <c r="K2" s="1" t="s">
        <v>10</v>
      </c>
      <c r="M2" s="11" t="s">
        <v>42</v>
      </c>
      <c r="N2" s="9" t="s">
        <v>7</v>
      </c>
      <c r="O2" s="7" t="s">
        <v>14</v>
      </c>
      <c r="P2" s="7" t="s">
        <v>9</v>
      </c>
      <c r="Q2" s="7" t="s">
        <v>9</v>
      </c>
      <c r="R2" s="7" t="s">
        <v>10</v>
      </c>
      <c r="S2" s="7" t="s">
        <v>10</v>
      </c>
      <c r="T2" s="7" t="s">
        <v>10</v>
      </c>
      <c r="U2" s="7" t="s">
        <v>10</v>
      </c>
      <c r="V2" s="7" t="s">
        <v>10</v>
      </c>
      <c r="W2" s="7" t="s">
        <v>10</v>
      </c>
    </row>
    <row r="3" spans="1:23" x14ac:dyDescent="0.2">
      <c r="A3" s="11"/>
      <c r="B3" s="9"/>
      <c r="C3" s="1" t="s">
        <v>15</v>
      </c>
      <c r="D3" s="1" t="s">
        <v>9</v>
      </c>
      <c r="E3" s="1" t="s">
        <v>9</v>
      </c>
      <c r="F3" s="1" t="s">
        <v>10</v>
      </c>
      <c r="G3" s="1" t="s">
        <v>10</v>
      </c>
      <c r="H3" s="1" t="s">
        <v>10</v>
      </c>
      <c r="I3" s="1" t="s">
        <v>10</v>
      </c>
      <c r="J3" s="1" t="s">
        <v>10</v>
      </c>
      <c r="K3" s="1" t="s">
        <v>10</v>
      </c>
      <c r="M3" s="11"/>
      <c r="N3" s="9"/>
      <c r="O3" s="7" t="s">
        <v>15</v>
      </c>
      <c r="P3" s="7" t="s">
        <v>9</v>
      </c>
      <c r="Q3" s="7" t="s">
        <v>9</v>
      </c>
      <c r="R3" s="7" t="s">
        <v>10</v>
      </c>
      <c r="S3" s="7" t="s">
        <v>10</v>
      </c>
      <c r="T3" s="7" t="s">
        <v>10</v>
      </c>
      <c r="U3" s="7" t="s">
        <v>10</v>
      </c>
      <c r="V3" s="7" t="s">
        <v>10</v>
      </c>
      <c r="W3" s="7" t="s">
        <v>10</v>
      </c>
    </row>
    <row r="4" spans="1:23" x14ac:dyDescent="0.2">
      <c r="A4" s="11"/>
      <c r="B4" s="9"/>
      <c r="C4" s="1" t="s">
        <v>16</v>
      </c>
      <c r="D4" s="1" t="s">
        <v>9</v>
      </c>
      <c r="E4" s="1" t="s">
        <v>9</v>
      </c>
      <c r="F4" s="1" t="s">
        <v>10</v>
      </c>
      <c r="G4" s="1" t="s">
        <v>10</v>
      </c>
      <c r="H4" s="1" t="s">
        <v>10</v>
      </c>
      <c r="I4" s="1" t="s">
        <v>10</v>
      </c>
      <c r="J4" s="1" t="s">
        <v>10</v>
      </c>
      <c r="K4" s="1" t="s">
        <v>10</v>
      </c>
      <c r="M4" s="11"/>
      <c r="N4" s="9"/>
      <c r="O4" s="7" t="s">
        <v>16</v>
      </c>
      <c r="P4" s="7" t="s">
        <v>9</v>
      </c>
      <c r="Q4" s="7" t="s">
        <v>9</v>
      </c>
      <c r="R4" s="7" t="s">
        <v>10</v>
      </c>
      <c r="S4" s="7" t="s">
        <v>10</v>
      </c>
      <c r="T4" s="7" t="s">
        <v>10</v>
      </c>
      <c r="U4" s="7" t="s">
        <v>10</v>
      </c>
      <c r="V4" s="7" t="s">
        <v>10</v>
      </c>
      <c r="W4" s="7" t="s">
        <v>10</v>
      </c>
    </row>
    <row r="5" spans="1:23" x14ac:dyDescent="0.2">
      <c r="A5" s="11"/>
      <c r="B5" s="9"/>
      <c r="C5" s="1" t="s">
        <v>17</v>
      </c>
      <c r="D5" s="1" t="s">
        <v>9</v>
      </c>
      <c r="E5" s="1" t="s">
        <v>9</v>
      </c>
      <c r="F5" s="1" t="s">
        <v>10</v>
      </c>
      <c r="G5" s="1" t="s">
        <v>10</v>
      </c>
      <c r="H5" s="1" t="s">
        <v>10</v>
      </c>
      <c r="I5" s="1" t="s">
        <v>10</v>
      </c>
      <c r="J5" s="1" t="s">
        <v>10</v>
      </c>
      <c r="K5" s="1" t="s">
        <v>10</v>
      </c>
      <c r="M5" s="11"/>
      <c r="N5" s="9"/>
      <c r="O5" s="7" t="s">
        <v>17</v>
      </c>
      <c r="P5" s="7" t="s">
        <v>9</v>
      </c>
      <c r="Q5" s="7" t="s">
        <v>9</v>
      </c>
      <c r="R5" s="7" t="s">
        <v>10</v>
      </c>
      <c r="S5" s="7" t="s">
        <v>10</v>
      </c>
      <c r="T5" s="7" t="s">
        <v>10</v>
      </c>
      <c r="U5" s="7" t="s">
        <v>10</v>
      </c>
      <c r="V5" s="7" t="s">
        <v>10</v>
      </c>
      <c r="W5" s="7" t="s">
        <v>10</v>
      </c>
    </row>
    <row r="6" spans="1:23" x14ac:dyDescent="0.2">
      <c r="A6" s="11"/>
      <c r="B6" s="9"/>
      <c r="C6" s="1" t="s">
        <v>8</v>
      </c>
      <c r="D6" s="1" t="s">
        <v>9</v>
      </c>
      <c r="E6" s="4" t="s">
        <v>25</v>
      </c>
      <c r="F6" s="1" t="s">
        <v>10</v>
      </c>
      <c r="G6" s="1" t="s">
        <v>10</v>
      </c>
      <c r="H6" s="1" t="s">
        <v>10</v>
      </c>
      <c r="I6" s="1" t="s">
        <v>10</v>
      </c>
      <c r="J6" s="1" t="s">
        <v>10</v>
      </c>
      <c r="K6" s="1" t="s">
        <v>10</v>
      </c>
      <c r="M6" s="11"/>
      <c r="N6" s="9"/>
      <c r="O6" s="7" t="s">
        <v>8</v>
      </c>
      <c r="P6" s="7" t="s">
        <v>9</v>
      </c>
      <c r="Q6" s="4" t="s">
        <v>43</v>
      </c>
      <c r="R6" s="7" t="s">
        <v>10</v>
      </c>
      <c r="S6" s="4" t="s">
        <v>51</v>
      </c>
      <c r="T6" s="7" t="s">
        <v>10</v>
      </c>
      <c r="U6" s="7" t="s">
        <v>10</v>
      </c>
      <c r="V6" s="7" t="s">
        <v>10</v>
      </c>
      <c r="W6" s="7" t="s">
        <v>10</v>
      </c>
    </row>
    <row r="7" spans="1:23" x14ac:dyDescent="0.2">
      <c r="A7" s="11"/>
      <c r="B7" s="9"/>
      <c r="C7" s="1" t="s">
        <v>11</v>
      </c>
      <c r="D7" s="1" t="s">
        <v>9</v>
      </c>
      <c r="E7" s="1" t="s">
        <v>9</v>
      </c>
      <c r="F7" s="1" t="s">
        <v>10</v>
      </c>
      <c r="G7" s="1" t="s">
        <v>33</v>
      </c>
      <c r="H7" s="1" t="s">
        <v>10</v>
      </c>
      <c r="I7" s="1" t="s">
        <v>10</v>
      </c>
      <c r="J7" s="1" t="s">
        <v>10</v>
      </c>
      <c r="K7" s="1" t="s">
        <v>10</v>
      </c>
      <c r="M7" s="11"/>
      <c r="N7" s="9"/>
      <c r="O7" s="7" t="s">
        <v>11</v>
      </c>
      <c r="P7" s="7" t="s">
        <v>9</v>
      </c>
      <c r="Q7" s="7" t="s">
        <v>44</v>
      </c>
      <c r="R7" s="7" t="s">
        <v>10</v>
      </c>
      <c r="S7" s="7" t="s">
        <v>52</v>
      </c>
      <c r="T7" s="7" t="s">
        <v>10</v>
      </c>
      <c r="U7" s="7" t="s">
        <v>10</v>
      </c>
      <c r="V7" s="7" t="s">
        <v>10</v>
      </c>
      <c r="W7" s="7" t="s">
        <v>10</v>
      </c>
    </row>
    <row r="8" spans="1:23" x14ac:dyDescent="0.2">
      <c r="A8" s="11"/>
      <c r="B8" s="9"/>
      <c r="C8" s="1" t="s">
        <v>12</v>
      </c>
      <c r="D8" s="1" t="s">
        <v>9</v>
      </c>
      <c r="E8" s="4" t="s">
        <v>26</v>
      </c>
      <c r="F8" s="1" t="s">
        <v>10</v>
      </c>
      <c r="G8" s="4" t="s">
        <v>34</v>
      </c>
      <c r="H8" s="1" t="s">
        <v>10</v>
      </c>
      <c r="I8" s="1" t="s">
        <v>10</v>
      </c>
      <c r="J8" s="4" t="s">
        <v>36</v>
      </c>
      <c r="K8" s="1" t="s">
        <v>10</v>
      </c>
      <c r="M8" s="11"/>
      <c r="N8" s="9"/>
      <c r="O8" s="7" t="s">
        <v>12</v>
      </c>
      <c r="P8" s="7" t="s">
        <v>9</v>
      </c>
      <c r="Q8" s="7" t="s">
        <v>45</v>
      </c>
      <c r="R8" s="7" t="s">
        <v>10</v>
      </c>
      <c r="S8" s="4" t="s">
        <v>53</v>
      </c>
      <c r="T8" s="7" t="s">
        <v>10</v>
      </c>
      <c r="U8" s="7" t="s">
        <v>10</v>
      </c>
      <c r="V8" s="4" t="s">
        <v>59</v>
      </c>
      <c r="W8" s="7" t="s">
        <v>10</v>
      </c>
    </row>
    <row r="9" spans="1:23" x14ac:dyDescent="0.2">
      <c r="A9" s="11"/>
      <c r="B9" s="9"/>
      <c r="C9" s="1" t="s">
        <v>13</v>
      </c>
      <c r="D9" s="1" t="s">
        <v>9</v>
      </c>
      <c r="E9" s="4" t="s">
        <v>27</v>
      </c>
      <c r="F9" s="1" t="s">
        <v>10</v>
      </c>
      <c r="G9" s="1" t="s">
        <v>10</v>
      </c>
      <c r="H9" s="1" t="s">
        <v>10</v>
      </c>
      <c r="I9" s="1" t="s">
        <v>10</v>
      </c>
      <c r="J9" s="4" t="s">
        <v>37</v>
      </c>
      <c r="K9" s="1" t="s">
        <v>10</v>
      </c>
      <c r="M9" s="11"/>
      <c r="N9" s="9"/>
      <c r="O9" s="7" t="s">
        <v>13</v>
      </c>
      <c r="P9" s="7" t="s">
        <v>9</v>
      </c>
      <c r="Q9" s="4" t="s">
        <v>46</v>
      </c>
      <c r="R9" s="7" t="s">
        <v>10</v>
      </c>
      <c r="S9" s="7" t="s">
        <v>54</v>
      </c>
      <c r="T9" s="7" t="s">
        <v>10</v>
      </c>
      <c r="U9" s="7" t="s">
        <v>10</v>
      </c>
      <c r="V9" s="4" t="s">
        <v>60</v>
      </c>
      <c r="W9" s="7" t="s">
        <v>10</v>
      </c>
    </row>
    <row r="10" spans="1:23" x14ac:dyDescent="0.2">
      <c r="A10" s="11"/>
      <c r="B10" s="10" t="s">
        <v>18</v>
      </c>
      <c r="C10" s="3" t="s">
        <v>14</v>
      </c>
      <c r="D10" s="3" t="s">
        <v>9</v>
      </c>
      <c r="E10" s="3" t="s">
        <v>10</v>
      </c>
      <c r="F10" s="3" t="s">
        <v>10</v>
      </c>
      <c r="G10" s="3" t="s">
        <v>10</v>
      </c>
      <c r="H10" s="3" t="s">
        <v>10</v>
      </c>
      <c r="I10" s="3" t="s">
        <v>10</v>
      </c>
      <c r="J10" s="3" t="s">
        <v>10</v>
      </c>
      <c r="K10" s="3" t="s">
        <v>10</v>
      </c>
      <c r="M10" s="11"/>
      <c r="N10" s="10" t="s">
        <v>18</v>
      </c>
      <c r="O10" s="8" t="s">
        <v>14</v>
      </c>
      <c r="P10" s="8" t="s">
        <v>9</v>
      </c>
      <c r="Q10" s="8" t="s">
        <v>10</v>
      </c>
      <c r="R10" s="8" t="s">
        <v>10</v>
      </c>
      <c r="S10" s="8" t="s">
        <v>10</v>
      </c>
      <c r="T10" s="8" t="s">
        <v>10</v>
      </c>
      <c r="U10" s="8" t="s">
        <v>10</v>
      </c>
      <c r="V10" s="8" t="s">
        <v>10</v>
      </c>
      <c r="W10" s="8" t="s">
        <v>10</v>
      </c>
    </row>
    <row r="11" spans="1:23" x14ac:dyDescent="0.2">
      <c r="A11" s="11"/>
      <c r="B11" s="10"/>
      <c r="C11" s="3" t="s">
        <v>15</v>
      </c>
      <c r="D11" s="3" t="s">
        <v>9</v>
      </c>
      <c r="E11" s="3" t="s">
        <v>10</v>
      </c>
      <c r="F11" s="3" t="s">
        <v>10</v>
      </c>
      <c r="G11" s="3" t="s">
        <v>10</v>
      </c>
      <c r="H11" s="3" t="s">
        <v>10</v>
      </c>
      <c r="I11" s="3" t="s">
        <v>10</v>
      </c>
      <c r="J11" s="3" t="s">
        <v>10</v>
      </c>
      <c r="K11" s="3" t="s">
        <v>10</v>
      </c>
      <c r="M11" s="11"/>
      <c r="N11" s="10"/>
      <c r="O11" s="8" t="s">
        <v>15</v>
      </c>
      <c r="P11" s="8" t="s">
        <v>9</v>
      </c>
      <c r="Q11" s="8" t="s">
        <v>10</v>
      </c>
      <c r="R11" s="8" t="s">
        <v>10</v>
      </c>
      <c r="S11" s="8" t="s">
        <v>10</v>
      </c>
      <c r="T11" s="8" t="s">
        <v>10</v>
      </c>
      <c r="U11" s="8" t="s">
        <v>10</v>
      </c>
      <c r="V11" s="8" t="s">
        <v>10</v>
      </c>
      <c r="W11" s="8" t="s">
        <v>10</v>
      </c>
    </row>
    <row r="12" spans="1:23" x14ac:dyDescent="0.2">
      <c r="A12" s="11"/>
      <c r="B12" s="10"/>
      <c r="C12" s="3" t="s">
        <v>16</v>
      </c>
      <c r="D12" s="3" t="s">
        <v>9</v>
      </c>
      <c r="E12" s="3" t="s">
        <v>10</v>
      </c>
      <c r="F12" s="3" t="s">
        <v>10</v>
      </c>
      <c r="G12" s="3" t="s">
        <v>10</v>
      </c>
      <c r="H12" s="3" t="s">
        <v>10</v>
      </c>
      <c r="I12" s="3" t="s">
        <v>10</v>
      </c>
      <c r="J12" s="3" t="s">
        <v>10</v>
      </c>
      <c r="K12" s="3" t="s">
        <v>10</v>
      </c>
      <c r="M12" s="11"/>
      <c r="N12" s="10"/>
      <c r="O12" s="8" t="s">
        <v>16</v>
      </c>
      <c r="P12" s="8" t="s">
        <v>9</v>
      </c>
      <c r="Q12" s="8" t="s">
        <v>10</v>
      </c>
      <c r="R12" s="8" t="s">
        <v>10</v>
      </c>
      <c r="S12" s="8" t="s">
        <v>10</v>
      </c>
      <c r="T12" s="8" t="s">
        <v>10</v>
      </c>
      <c r="U12" s="8" t="s">
        <v>10</v>
      </c>
      <c r="V12" s="8" t="s">
        <v>10</v>
      </c>
      <c r="W12" s="8" t="s">
        <v>10</v>
      </c>
    </row>
    <row r="13" spans="1:23" x14ac:dyDescent="0.2">
      <c r="A13" s="11"/>
      <c r="B13" s="10"/>
      <c r="C13" s="3" t="s">
        <v>17</v>
      </c>
      <c r="D13" s="4" t="s">
        <v>20</v>
      </c>
      <c r="E13" s="3" t="s">
        <v>10</v>
      </c>
      <c r="F13" s="3" t="s">
        <v>10</v>
      </c>
      <c r="G13" s="3" t="s">
        <v>10</v>
      </c>
      <c r="H13" s="3" t="s">
        <v>10</v>
      </c>
      <c r="I13" s="3" t="s">
        <v>10</v>
      </c>
      <c r="J13" s="3" t="s">
        <v>10</v>
      </c>
      <c r="K13" s="3" t="s">
        <v>10</v>
      </c>
      <c r="M13" s="11"/>
      <c r="N13" s="10"/>
      <c r="O13" s="8" t="s">
        <v>17</v>
      </c>
      <c r="P13" s="8" t="s">
        <v>9</v>
      </c>
      <c r="Q13" s="8" t="s">
        <v>10</v>
      </c>
      <c r="R13" s="8" t="s">
        <v>10</v>
      </c>
      <c r="S13" s="8" t="s">
        <v>10</v>
      </c>
      <c r="T13" s="8" t="s">
        <v>10</v>
      </c>
      <c r="U13" s="8" t="s">
        <v>10</v>
      </c>
      <c r="V13" s="8" t="s">
        <v>10</v>
      </c>
      <c r="W13" s="8" t="s">
        <v>10</v>
      </c>
    </row>
    <row r="14" spans="1:23" x14ac:dyDescent="0.2">
      <c r="A14" s="11"/>
      <c r="B14" s="10"/>
      <c r="C14" s="3" t="s">
        <v>8</v>
      </c>
      <c r="D14" s="3" t="s">
        <v>9</v>
      </c>
      <c r="E14" s="4" t="s">
        <v>28</v>
      </c>
      <c r="F14" s="3" t="s">
        <v>10</v>
      </c>
      <c r="G14" s="3" t="s">
        <v>10</v>
      </c>
      <c r="H14" s="3" t="s">
        <v>10</v>
      </c>
      <c r="I14" s="3" t="s">
        <v>10</v>
      </c>
      <c r="J14" s="4" t="s">
        <v>38</v>
      </c>
      <c r="K14" s="3" t="s">
        <v>10</v>
      </c>
      <c r="M14" s="11"/>
      <c r="N14" s="10"/>
      <c r="O14" s="8" t="s">
        <v>8</v>
      </c>
      <c r="P14" s="8" t="s">
        <v>9</v>
      </c>
      <c r="Q14" s="4" t="s">
        <v>47</v>
      </c>
      <c r="R14" s="8" t="s">
        <v>10</v>
      </c>
      <c r="S14" s="12" t="s">
        <v>55</v>
      </c>
      <c r="T14" s="8" t="s">
        <v>10</v>
      </c>
      <c r="U14" s="8" t="s">
        <v>10</v>
      </c>
      <c r="V14" s="4" t="s">
        <v>61</v>
      </c>
      <c r="W14" s="8" t="s">
        <v>10</v>
      </c>
    </row>
    <row r="15" spans="1:23" x14ac:dyDescent="0.2">
      <c r="A15" s="11"/>
      <c r="B15" s="10"/>
      <c r="C15" s="3" t="s">
        <v>11</v>
      </c>
      <c r="D15" s="3" t="s">
        <v>9</v>
      </c>
      <c r="E15" s="6" t="s">
        <v>29</v>
      </c>
      <c r="F15" s="3" t="s">
        <v>10</v>
      </c>
      <c r="G15" s="3" t="s">
        <v>10</v>
      </c>
      <c r="H15" s="3" t="s">
        <v>10</v>
      </c>
      <c r="I15" s="3" t="s">
        <v>10</v>
      </c>
      <c r="J15" s="4" t="s">
        <v>39</v>
      </c>
      <c r="K15" s="3" t="s">
        <v>10</v>
      </c>
      <c r="M15" s="11"/>
      <c r="N15" s="10"/>
      <c r="O15" s="8" t="s">
        <v>11</v>
      </c>
      <c r="P15" s="8" t="s">
        <v>9</v>
      </c>
      <c r="Q15" s="6" t="s">
        <v>48</v>
      </c>
      <c r="R15" s="8" t="s">
        <v>10</v>
      </c>
      <c r="S15" s="12" t="s">
        <v>56</v>
      </c>
      <c r="T15" s="8" t="s">
        <v>10</v>
      </c>
      <c r="U15" s="8" t="s">
        <v>10</v>
      </c>
      <c r="V15" s="4" t="s">
        <v>62</v>
      </c>
      <c r="W15" s="8" t="s">
        <v>10</v>
      </c>
    </row>
    <row r="16" spans="1:23" x14ac:dyDescent="0.2">
      <c r="A16" s="11"/>
      <c r="B16" s="10"/>
      <c r="C16" s="3" t="s">
        <v>12</v>
      </c>
      <c r="D16" s="3" t="s">
        <v>9</v>
      </c>
      <c r="E16" s="3" t="s">
        <v>30</v>
      </c>
      <c r="F16" s="3" t="s">
        <v>10</v>
      </c>
      <c r="G16" s="3" t="s">
        <v>35</v>
      </c>
      <c r="H16" s="3" t="s">
        <v>10</v>
      </c>
      <c r="I16" s="3" t="s">
        <v>10</v>
      </c>
      <c r="J16" s="4" t="s">
        <v>40</v>
      </c>
      <c r="K16" s="3" t="s">
        <v>10</v>
      </c>
      <c r="M16" s="11"/>
      <c r="N16" s="10"/>
      <c r="O16" s="8" t="s">
        <v>12</v>
      </c>
      <c r="P16" s="8" t="s">
        <v>9</v>
      </c>
      <c r="Q16" s="6" t="s">
        <v>49</v>
      </c>
      <c r="R16" s="8" t="s">
        <v>10</v>
      </c>
      <c r="S16" s="12" t="s">
        <v>57</v>
      </c>
      <c r="T16" s="8" t="s">
        <v>10</v>
      </c>
      <c r="U16" s="8" t="s">
        <v>10</v>
      </c>
      <c r="V16" s="4" t="s">
        <v>63</v>
      </c>
      <c r="W16" s="8" t="s">
        <v>10</v>
      </c>
    </row>
    <row r="17" spans="1:23" x14ac:dyDescent="0.2">
      <c r="A17" s="11"/>
      <c r="B17" s="10"/>
      <c r="C17" s="3" t="s">
        <v>13</v>
      </c>
      <c r="D17" s="3" t="s">
        <v>9</v>
      </c>
      <c r="E17" s="4" t="s">
        <v>31</v>
      </c>
      <c r="F17" s="3" t="s">
        <v>10</v>
      </c>
      <c r="G17" s="3" t="s">
        <v>10</v>
      </c>
      <c r="H17" s="3" t="s">
        <v>10</v>
      </c>
      <c r="I17" s="3" t="s">
        <v>10</v>
      </c>
      <c r="J17" s="4" t="s">
        <v>41</v>
      </c>
      <c r="K17" s="3" t="s">
        <v>10</v>
      </c>
      <c r="M17" s="11"/>
      <c r="N17" s="10"/>
      <c r="O17" s="8" t="s">
        <v>13</v>
      </c>
      <c r="P17" s="8" t="s">
        <v>9</v>
      </c>
      <c r="Q17" s="4" t="s">
        <v>50</v>
      </c>
      <c r="R17" s="8" t="s">
        <v>10</v>
      </c>
      <c r="S17" s="8" t="s">
        <v>58</v>
      </c>
      <c r="T17" s="8" t="s">
        <v>10</v>
      </c>
      <c r="U17" s="8" t="s">
        <v>10</v>
      </c>
      <c r="V17" s="4" t="s">
        <v>64</v>
      </c>
      <c r="W17" s="8" t="s">
        <v>10</v>
      </c>
    </row>
    <row r="18" spans="1:23" x14ac:dyDescent="0.2">
      <c r="A18" s="9" t="s">
        <v>24</v>
      </c>
      <c r="B18" s="9"/>
      <c r="C18" s="5"/>
      <c r="D18" s="5">
        <v>0.90200000000000002</v>
      </c>
      <c r="E18" s="5">
        <v>0.8</v>
      </c>
      <c r="F18" s="5">
        <v>0.436</v>
      </c>
      <c r="G18" s="5">
        <v>0.72899999999999998</v>
      </c>
      <c r="H18" s="5">
        <v>0.501</v>
      </c>
      <c r="I18" s="5">
        <v>0.45300000000000001</v>
      </c>
      <c r="J18" s="5">
        <v>0.90700000000000003</v>
      </c>
      <c r="K18" s="5">
        <v>0.376</v>
      </c>
      <c r="M18" s="9" t="s">
        <v>24</v>
      </c>
      <c r="N18" s="9"/>
      <c r="O18" s="5"/>
      <c r="P18" s="5">
        <v>0.89600000000000002</v>
      </c>
      <c r="Q18" s="5">
        <v>0.79500000000000004</v>
      </c>
      <c r="R18" s="5">
        <v>0.38200000000000001</v>
      </c>
      <c r="S18" s="5">
        <v>0.748</v>
      </c>
      <c r="T18" s="5">
        <v>0.47699999999999998</v>
      </c>
      <c r="U18" s="5">
        <v>0.39800000000000002</v>
      </c>
      <c r="V18" s="5">
        <v>0.90400000000000003</v>
      </c>
      <c r="W18" s="5">
        <v>0.376</v>
      </c>
    </row>
    <row r="19" spans="1:23" x14ac:dyDescent="0.2">
      <c r="A19" s="9" t="s">
        <v>32</v>
      </c>
      <c r="B19" s="9"/>
      <c r="C19" s="5"/>
      <c r="D19" s="5">
        <f>1/16</f>
        <v>6.25E-2</v>
      </c>
      <c r="E19" s="5">
        <f>6/16</f>
        <v>0.375</v>
      </c>
      <c r="F19" s="5">
        <f>0/16</f>
        <v>0</v>
      </c>
      <c r="G19" s="5">
        <f>1/16</f>
        <v>6.25E-2</v>
      </c>
      <c r="H19" s="5">
        <f>0/16</f>
        <v>0</v>
      </c>
      <c r="I19" s="5">
        <f>0/16</f>
        <v>0</v>
      </c>
      <c r="J19" s="5">
        <f>6/16</f>
        <v>0.375</v>
      </c>
      <c r="K19" s="5">
        <f>0/16</f>
        <v>0</v>
      </c>
      <c r="M19" s="9" t="s">
        <v>32</v>
      </c>
      <c r="N19" s="9"/>
      <c r="O19" s="5"/>
      <c r="P19" s="5">
        <f>1/16</f>
        <v>6.25E-2</v>
      </c>
      <c r="Q19" s="5">
        <f>6/16</f>
        <v>0.375</v>
      </c>
      <c r="R19" s="5">
        <f>0/16</f>
        <v>0</v>
      </c>
      <c r="S19" s="5">
        <f>1/16</f>
        <v>6.25E-2</v>
      </c>
      <c r="T19" s="5">
        <f>0/16</f>
        <v>0</v>
      </c>
      <c r="U19" s="5">
        <f>0/16</f>
        <v>0</v>
      </c>
      <c r="V19" s="5">
        <f>6/16</f>
        <v>0.375</v>
      </c>
      <c r="W19" s="5">
        <f>0/16</f>
        <v>0</v>
      </c>
    </row>
  </sheetData>
  <mergeCells count="10">
    <mergeCell ref="M2:M17"/>
    <mergeCell ref="N2:N9"/>
    <mergeCell ref="N10:N17"/>
    <mergeCell ref="M18:N18"/>
    <mergeCell ref="M19:N19"/>
    <mergeCell ref="B2:B9"/>
    <mergeCell ref="B10:B17"/>
    <mergeCell ref="A2:A17"/>
    <mergeCell ref="A18:B18"/>
    <mergeCell ref="A19:B19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 summary sufficiency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2023-01-07T07:57:05Z</dcterms:modified>
</cp:coreProperties>
</file>